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Finance Model" sheetId="1" state="visible" r:id="rId1"/>
    <sheet xmlns:r="http://schemas.openxmlformats.org/officeDocument/2006/relationships" name="Structured Finance Model" sheetId="2" state="visible" r:id="rId2"/>
    <sheet xmlns:r="http://schemas.openxmlformats.org/officeDocument/2006/relationships" name="Comparison" sheetId="3" state="visible" r:id="rId3"/>
    <sheet xmlns:r="http://schemas.openxmlformats.org/officeDocument/2006/relationships" name="Rating Level Stresses" sheetId="4" state="visible" r:id="rId4"/>
    <sheet xmlns:r="http://schemas.openxmlformats.org/officeDocument/2006/relationships" name="S&amp;P vs Moody's Alignment" sheetId="5" state="visible" r:id="rId5"/>
    <sheet xmlns:r="http://schemas.openxmlformats.org/officeDocument/2006/relationships" name="Worked SF Rating Example" sheetId="6" state="visible" r:id="rId6"/>
    <sheet xmlns:r="http://schemas.openxmlformats.org/officeDocument/2006/relationships" name="Worked FF Rating Examp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Total Commitments</t>
        </is>
      </c>
      <c r="B2" t="n">
        <v>500000000</v>
      </c>
    </row>
    <row r="3">
      <c r="A3" t="inlineStr">
        <is>
          <t>Called Capital</t>
        </is>
      </c>
      <c r="B3" t="n">
        <v>300000000</v>
      </c>
    </row>
    <row r="4">
      <c r="A4" t="inlineStr">
        <is>
          <t>NAV</t>
        </is>
      </c>
      <c r="B4" t="n">
        <v>450000000</v>
      </c>
    </row>
    <row r="5">
      <c r="A5" t="inlineStr">
        <is>
          <t>NAV Haircut</t>
        </is>
      </c>
      <c r="B5" t="n">
        <v>0.3</v>
      </c>
    </row>
    <row r="6">
      <c r="A6" t="inlineStr">
        <is>
          <t>Advance Rate</t>
        </is>
      </c>
      <c r="B6" t="n">
        <v>0.5</v>
      </c>
    </row>
    <row r="7">
      <c r="A7" t="inlineStr">
        <is>
          <t>Facility Size</t>
        </is>
      </c>
      <c r="B7" t="n">
        <v>150000000</v>
      </c>
    </row>
    <row r="9">
      <c r="A9" t="inlineStr">
        <is>
          <t>Calculated Metrics</t>
        </is>
      </c>
      <c r="B9" t="inlineStr">
        <is>
          <t>Result</t>
        </is>
      </c>
    </row>
    <row r="10">
      <c r="A10" t="inlineStr">
        <is>
          <t>Adjusted NAV</t>
        </is>
      </c>
      <c r="B10">
        <f>B4*(1-B5)</f>
        <v/>
      </c>
    </row>
    <row r="11">
      <c r="A11" t="inlineStr">
        <is>
          <t>Borrowing Base</t>
        </is>
      </c>
      <c r="B11">
        <f>B9*B6</f>
        <v/>
      </c>
    </row>
    <row r="12">
      <c r="A12" t="inlineStr">
        <is>
          <t>Availability Headroom</t>
        </is>
      </c>
      <c r="B12">
        <f>B10-B7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Asset Pool Balance</t>
        </is>
      </c>
      <c r="B2" t="n">
        <v>1000000000</v>
      </c>
    </row>
    <row r="3">
      <c r="A3" t="inlineStr">
        <is>
          <t>Annual Default Rate</t>
        </is>
      </c>
      <c r="B3" t="n">
        <v>0.05</v>
      </c>
    </row>
    <row r="4">
      <c r="A4" t="inlineStr">
        <is>
          <t>Recovery Rate</t>
        </is>
      </c>
      <c r="B4" t="n">
        <v>0.4</v>
      </c>
    </row>
    <row r="5">
      <c r="A5" t="inlineStr">
        <is>
          <t>Senior Tranche Balance</t>
        </is>
      </c>
      <c r="B5" t="n">
        <v>700000000</v>
      </c>
    </row>
    <row r="6">
      <c r="A6" t="inlineStr">
        <is>
          <t>Mezzanine Tranche Balance</t>
        </is>
      </c>
      <c r="B6" t="n">
        <v>200000000</v>
      </c>
    </row>
    <row r="7">
      <c r="A7" t="inlineStr">
        <is>
          <t>Equity</t>
        </is>
      </c>
      <c r="B7" t="n">
        <v>100000000</v>
      </c>
    </row>
    <row r="9">
      <c r="A9" t="inlineStr">
        <is>
          <t>Stress Calculations</t>
        </is>
      </c>
      <c r="B9" t="inlineStr">
        <is>
          <t>Result</t>
        </is>
      </c>
    </row>
    <row r="10">
      <c r="A10" t="inlineStr">
        <is>
          <t>Annual Loss</t>
        </is>
      </c>
      <c r="B10">
        <f>B2*B3*(1-B4)</f>
        <v/>
      </c>
    </row>
    <row r="11">
      <c r="A11" t="inlineStr">
        <is>
          <t>Loss Absorbed by Equity</t>
        </is>
      </c>
      <c r="B11">
        <f>MIN(B9,B7)</f>
        <v/>
      </c>
    </row>
    <row r="12">
      <c r="A12" t="inlineStr">
        <is>
          <t>Loss Absorbed by Mezz</t>
        </is>
      </c>
      <c r="B12">
        <f>MIN(B9-B10,B6)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Fund Finance</t>
        </is>
      </c>
      <c r="C1" t="inlineStr">
        <is>
          <t>Structured Finance</t>
        </is>
      </c>
    </row>
    <row r="2">
      <c r="A2" t="inlineStr">
        <is>
          <t>Primary Risk</t>
        </is>
      </c>
      <c r="B2" t="inlineStr">
        <is>
          <t>Investor default / NAV decline</t>
        </is>
      </c>
      <c r="C2" t="inlineStr">
        <is>
          <t>Asset default &amp; recovery</t>
        </is>
      </c>
    </row>
    <row r="3">
      <c r="A3" t="inlineStr">
        <is>
          <t>Cash Flow Type</t>
        </is>
      </c>
      <c r="B3" t="inlineStr">
        <is>
          <t>Discretionary / Exit-based</t>
        </is>
      </c>
      <c r="C3" t="inlineStr">
        <is>
          <t>Contractual</t>
        </is>
      </c>
    </row>
    <row r="4">
      <c r="A4" t="inlineStr">
        <is>
          <t>Model Focus</t>
        </is>
      </c>
      <c r="B4" t="inlineStr">
        <is>
          <t>Liquidity &amp; coverage</t>
        </is>
      </c>
      <c r="C4" t="inlineStr">
        <is>
          <t>Cash flow &amp; waterfall</t>
        </is>
      </c>
    </row>
    <row r="5">
      <c r="A5" t="inlineStr">
        <is>
          <t>Rating Unit</t>
        </is>
      </c>
      <c r="B5" t="inlineStr">
        <is>
          <t>Facility</t>
        </is>
      </c>
      <c r="C5" t="inlineStr">
        <is>
          <t>Tranche</t>
        </is>
      </c>
    </row>
    <row r="6">
      <c r="A6" t="inlineStr">
        <is>
          <t>Stress Driver</t>
        </is>
      </c>
      <c r="B6" t="inlineStr">
        <is>
          <t>Capital call failure</t>
        </is>
      </c>
      <c r="C6" t="inlineStr">
        <is>
          <t>Default timing &amp; severity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 Level</t>
        </is>
      </c>
      <c r="B1" t="inlineStr">
        <is>
          <t>Default Rate Stress</t>
        </is>
      </c>
      <c r="C1" t="inlineStr">
        <is>
          <t>Recovery Stress</t>
        </is>
      </c>
      <c r="D1" t="inlineStr">
        <is>
          <t>NAV Haircut (Fund Fin)</t>
        </is>
      </c>
    </row>
    <row r="2">
      <c r="A2" t="inlineStr">
        <is>
          <t>AAA</t>
        </is>
      </c>
      <c r="B2" t="n">
        <v>0.3</v>
      </c>
      <c r="C2" t="n">
        <v>0.2</v>
      </c>
      <c r="D2" t="n">
        <v>0.5</v>
      </c>
    </row>
    <row r="3">
      <c r="A3" t="inlineStr">
        <is>
          <t>AA</t>
        </is>
      </c>
      <c r="B3" t="n">
        <v>0.2</v>
      </c>
      <c r="C3" t="n">
        <v>0.3</v>
      </c>
      <c r="D3" t="n">
        <v>0.4</v>
      </c>
    </row>
    <row r="4">
      <c r="A4" t="inlineStr">
        <is>
          <t>A</t>
        </is>
      </c>
      <c r="B4" t="n">
        <v>0.1</v>
      </c>
      <c r="C4" t="n">
        <v>0.4</v>
      </c>
      <c r="D4" t="n">
        <v>0.3</v>
      </c>
    </row>
    <row r="6">
      <c r="A6" t="inlineStr">
        <is>
          <t>Interpretation</t>
        </is>
      </c>
      <c r="B6" t="inlineStr">
        <is>
          <t>Structured Finance</t>
        </is>
      </c>
      <c r="C6" t="inlineStr">
        <is>
          <t>Fund Finance</t>
        </is>
      </c>
      <c r="D6" t="inlineStr"/>
    </row>
    <row r="7">
      <c r="A7" t="inlineStr">
        <is>
          <t>AAA</t>
        </is>
      </c>
      <c r="B7" t="inlineStr">
        <is>
          <t>Extreme default clustering, low recoveries</t>
        </is>
      </c>
      <c r="C7" t="inlineStr">
        <is>
          <t>Severe NAV decline + delayed exits</t>
        </is>
      </c>
      <c r="D7" t="inlineStr"/>
    </row>
    <row r="8">
      <c r="A8" t="inlineStr">
        <is>
          <t>AA</t>
        </is>
      </c>
      <c r="B8" t="inlineStr">
        <is>
          <t>High but plausible stress scenario</t>
        </is>
      </c>
      <c r="C8" t="inlineStr">
        <is>
          <t>Material NAV shock, limited liquidity</t>
        </is>
      </c>
      <c r="D8" t="inlineStr"/>
    </row>
    <row r="9">
      <c r="A9" t="inlineStr">
        <is>
          <t>A</t>
        </is>
      </c>
      <c r="B9" t="inlineStr">
        <is>
          <t>Moderate cyclical downturn</t>
        </is>
      </c>
      <c r="C9" t="inlineStr">
        <is>
          <t>Portfolio underperformance but recoverable</t>
        </is>
      </c>
      <c r="D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S&amp;P Global Ratings</t>
        </is>
      </c>
      <c r="C1" t="inlineStr">
        <is>
          <t>Moody’s Investors Service</t>
        </is>
      </c>
    </row>
    <row r="2">
      <c r="A2" t="inlineStr">
        <is>
          <t>Core Framework</t>
        </is>
      </c>
      <c r="B2" t="inlineStr">
        <is>
          <t>Deterministic stress to rating level</t>
        </is>
      </c>
      <c r="C2" t="inlineStr">
        <is>
          <t>Expected Loss (PD × LGD)</t>
        </is>
      </c>
    </row>
    <row r="3">
      <c r="A3" t="inlineStr">
        <is>
          <t>Structured Finance</t>
        </is>
      </c>
      <c r="B3" t="inlineStr">
        <is>
          <t>Tranche must survive rating stress with full payment</t>
        </is>
      </c>
      <c r="C3" t="inlineStr">
        <is>
          <t>Tranche EL must fall within rating band</t>
        </is>
      </c>
    </row>
    <row r="4">
      <c r="A4" t="inlineStr">
        <is>
          <t>Fund Finance</t>
        </is>
      </c>
      <c r="B4" t="inlineStr">
        <is>
          <t>LP credit quality &amp; enforceability focus</t>
        </is>
      </c>
      <c r="C4" t="inlineStr">
        <is>
          <t>Liquidity sufficiency &amp; PD-weighted LP analysis</t>
        </is>
      </c>
    </row>
    <row r="5">
      <c r="A5" t="inlineStr">
        <is>
          <t>Stress Calibration</t>
        </is>
      </c>
      <c r="B5" t="inlineStr">
        <is>
          <t>Scenario-based (break-even tests)</t>
        </is>
      </c>
      <c r="C5" t="inlineStr">
        <is>
          <t>Probability-weighted simulations</t>
        </is>
      </c>
    </row>
    <row r="6">
      <c r="A6" t="inlineStr">
        <is>
          <t>Outcome</t>
        </is>
      </c>
      <c r="B6" t="inlineStr">
        <is>
          <t>Binary: pass / fail at rating level</t>
        </is>
      </c>
      <c r="C6" t="inlineStr">
        <is>
          <t>Continuous: expected loss mapped to rating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AAA Stress</t>
        </is>
      </c>
      <c r="C1" t="inlineStr">
        <is>
          <t>AA Stress</t>
        </is>
      </c>
      <c r="D1" t="inlineStr">
        <is>
          <t>A Stress</t>
        </is>
      </c>
    </row>
    <row r="2">
      <c r="A2" t="inlineStr">
        <is>
          <t>Default Rate</t>
        </is>
      </c>
      <c r="B2">
        <f> 'Rating Level Stresses'!B2</f>
        <v/>
      </c>
      <c r="C2">
        <f> 'Rating Level Stresses'!B3</f>
        <v/>
      </c>
      <c r="D2">
        <f> 'Rating Level Stresses'!B4</f>
        <v/>
      </c>
    </row>
    <row r="3">
      <c r="A3" t="inlineStr">
        <is>
          <t>Recovery Rate</t>
        </is>
      </c>
      <c r="B3">
        <f> 'Rating Level Stresses'!C2</f>
        <v/>
      </c>
      <c r="C3">
        <f> 'Rating Level Stresses'!C3</f>
        <v/>
      </c>
      <c r="D3">
        <f> 'Rating Level Stresses'!C4</f>
        <v/>
      </c>
    </row>
    <row r="4">
      <c r="A4" t="inlineStr">
        <is>
          <t>Asset Pool</t>
        </is>
      </c>
      <c r="B4" t="n">
        <v>1000000000</v>
      </c>
      <c r="C4" t="inlineStr"/>
      <c r="D4" t="inlineStr"/>
    </row>
    <row r="5">
      <c r="A5" t="inlineStr">
        <is>
          <t>Senior Tranche</t>
        </is>
      </c>
      <c r="B5" t="n">
        <v>700000000</v>
      </c>
      <c r="C5" t="inlineStr"/>
      <c r="D5" t="inlineStr"/>
    </row>
    <row r="7">
      <c r="A7" t="inlineStr">
        <is>
          <t>Loss Under Stress</t>
        </is>
      </c>
      <c r="B7">
        <f>B4*B2*(1-B3)</f>
        <v/>
      </c>
      <c r="C7">
        <f>B4*C2*(1-C3)</f>
        <v/>
      </c>
      <c r="D7">
        <f>B4*D2*(1-D3)</f>
        <v/>
      </c>
    </row>
    <row r="8">
      <c r="A8" t="inlineStr">
        <is>
          <t>Senior Coverage Test</t>
        </is>
      </c>
      <c r="B8">
        <f>IF(B7&lt;B5,"PASS","FAIL")</f>
        <v/>
      </c>
      <c r="C8">
        <f>IF(C7&lt;C5,"PASS","FAIL")</f>
        <v/>
      </c>
      <c r="D8">
        <f>IF(D7&lt;D5,"PASS","FAIL")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AAA Stress</t>
        </is>
      </c>
      <c r="C1" t="inlineStr">
        <is>
          <t>AA Stress</t>
        </is>
      </c>
      <c r="D1" t="inlineStr">
        <is>
          <t>A Stress</t>
        </is>
      </c>
    </row>
    <row r="2">
      <c r="A2" t="inlineStr">
        <is>
          <t>NAV</t>
        </is>
      </c>
      <c r="B2" t="n">
        <v>450000000</v>
      </c>
      <c r="C2" t="inlineStr"/>
      <c r="D2" t="inlineStr"/>
    </row>
    <row r="3">
      <c r="A3" t="inlineStr">
        <is>
          <t>NAV Haircut</t>
        </is>
      </c>
      <c r="B3">
        <f> 'Rating Level Stresses'!D2</f>
        <v/>
      </c>
      <c r="C3">
        <f> 'Rating Level Stresses'!D3</f>
        <v/>
      </c>
      <c r="D3">
        <f> 'Rating Level Stresses'!D4</f>
        <v/>
      </c>
    </row>
    <row r="4">
      <c r="A4" t="inlineStr">
        <is>
          <t>Advance Rate</t>
        </is>
      </c>
      <c r="B4" t="n">
        <v>0.5</v>
      </c>
      <c r="C4" t="inlineStr"/>
      <c r="D4" t="inlineStr"/>
    </row>
    <row r="5">
      <c r="A5" t="inlineStr">
        <is>
          <t>Facility Size</t>
        </is>
      </c>
      <c r="B5" t="n">
        <v>150000000</v>
      </c>
      <c r="C5" t="inlineStr"/>
      <c r="D5" t="inlineStr"/>
    </row>
    <row r="7">
      <c r="A7" t="inlineStr">
        <is>
          <t>Adjusted NAV</t>
        </is>
      </c>
      <c r="B7">
        <f>B2*(1-B3)</f>
        <v/>
      </c>
      <c r="C7">
        <f>B2*(1-C3)</f>
        <v/>
      </c>
      <c r="D7">
        <f>B2*(1-D3)</f>
        <v/>
      </c>
    </row>
    <row r="8">
      <c r="A8" t="inlineStr">
        <is>
          <t>Borrowing Base</t>
        </is>
      </c>
      <c r="B8">
        <f>B7*B4</f>
        <v/>
      </c>
      <c r="C8">
        <f>C7*C4</f>
        <v/>
      </c>
      <c r="D8">
        <f>D7*D4</f>
        <v/>
      </c>
    </row>
    <row r="9">
      <c r="A9" t="inlineStr">
        <is>
          <t>Liquidity Test</t>
        </is>
      </c>
      <c r="B9">
        <f>IF(B8&gt;B5,"PASS","FAIL")</f>
        <v/>
      </c>
      <c r="C9">
        <f>IF(C8&gt;C5,"PASS","FAIL")</f>
        <v/>
      </c>
      <c r="D9">
        <f>IF(D8&gt;D5,"PASS","FAIL")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2026-01-15T07:46:29Z</dcterms:created>
  <dcterms:modified xmlns:dcterms="http://purl.org/dc/terms/" xmlns:xsi="http://www.w3.org/2001/XMLSchema-instance" xsi:type="dcterms:W3CDTF">2026-01-15T07:50:38Z</dcterms:modified>
</cp:coreProperties>
</file>