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aekhosh/Downloads/"/>
    </mc:Choice>
  </mc:AlternateContent>
  <xr:revisionPtr revIDLastSave="0" documentId="13_ncr:1_{66118B6C-C19B-5F4C-AF66-C27809F9EE7A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Comparis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E22" i="3"/>
  <c r="E23" i="3"/>
  <c r="B21" i="3"/>
  <c r="B22" i="3"/>
  <c r="B23" i="3"/>
</calcChain>
</file>

<file path=xl/sharedStrings.xml><?xml version="1.0" encoding="utf-8"?>
<sst xmlns="http://schemas.openxmlformats.org/spreadsheetml/2006/main" count="46" uniqueCount="44">
  <si>
    <t>Assumption</t>
  </si>
  <si>
    <t>Value</t>
  </si>
  <si>
    <t>Total Commitments</t>
  </si>
  <si>
    <t>Called Capital</t>
  </si>
  <si>
    <t>NAV</t>
  </si>
  <si>
    <t>NAV Haircut</t>
  </si>
  <si>
    <t>Advance Rate</t>
  </si>
  <si>
    <t>Facility Size</t>
  </si>
  <si>
    <t>Calculated Metrics</t>
  </si>
  <si>
    <t>Result</t>
  </si>
  <si>
    <t>Adjusted NAV</t>
  </si>
  <si>
    <t>Borrowing Base</t>
  </si>
  <si>
    <t>Availability Headroom</t>
  </si>
  <si>
    <t>Parameter</t>
  </si>
  <si>
    <t>Asset Pool Balance</t>
  </si>
  <si>
    <t>Annual Default Rate</t>
  </si>
  <si>
    <t>Recovery Rate</t>
  </si>
  <si>
    <t>Senior Tranche Balance</t>
  </si>
  <si>
    <t>Mezzanine Tranche Balance</t>
  </si>
  <si>
    <t>Equity</t>
  </si>
  <si>
    <t>Stress Calculations</t>
  </si>
  <si>
    <t>Annual Loss</t>
  </si>
  <si>
    <t>Loss Absorbed by Equity</t>
  </si>
  <si>
    <t>Loss Absorbed by Mezz</t>
  </si>
  <si>
    <t>Dimension</t>
  </si>
  <si>
    <t>Fund Finance</t>
  </si>
  <si>
    <t>Structured Finance</t>
  </si>
  <si>
    <t>Primary Risk</t>
  </si>
  <si>
    <t>Investor default / NAV decline</t>
  </si>
  <si>
    <t>Asset default &amp; recovery</t>
  </si>
  <si>
    <t>Cash Flow Type</t>
  </si>
  <si>
    <t>Discretionary / Exit-based</t>
  </si>
  <si>
    <t>Contractual</t>
  </si>
  <si>
    <t>Model Focus</t>
  </si>
  <si>
    <t>Liquidity &amp; coverage</t>
  </si>
  <si>
    <t>Cash flow &amp; waterfall</t>
  </si>
  <si>
    <t>Rating Unit</t>
  </si>
  <si>
    <t>Facility</t>
  </si>
  <si>
    <t>Tranche</t>
  </si>
  <si>
    <t>Stress Driver</t>
  </si>
  <si>
    <t>Capital call failure</t>
  </si>
  <si>
    <t>Default timing &amp; severity</t>
  </si>
  <si>
    <t xml:space="preserve">Fund </t>
  </si>
  <si>
    <t>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</si>
</sst>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>
      <selection activeCell="C1" sqref="A1:C1"/>
    </sheetView>
  </sheetViews>
  <sheetFormatPr baseColWidth="10" defaultColWidth="8.83203125" defaultRowHeight="15" x14ac:dyDescent="0.2"/>
  <cols>
    <col min="1" max="1" width="23.33203125" customWidth="1"/>
    <col min="2" max="2" width="24.33203125" customWidth="1"/>
    <col min="3" max="3" width="23.6640625" customWidth="1"/>
    <col min="4" max="4" width="20.6640625" customWidth="1"/>
    <col min="5" max="5" width="16.1640625" customWidth="1"/>
  </cols>
  <sheetData>
    <row r="1" spans="1:5" x14ac:dyDescent="0.2">
      <c r="A1" s="1" t="s">
        <v>24</v>
      </c>
      <c r="B1" s="1" t="s">
        <v>26</v>
      </c>
      <c r="C1" s="1" t="s">
        <v>25</v>
      </c>
    </row>
    <row r="2" spans="1:5" x14ac:dyDescent="0.2">
      <c r="A2" t="s">
        <v>27</v>
      </c>
      <c r="B2" t="s">
        <v>29</v>
      </c>
      <c r="C2" t="s">
        <v>28</v>
      </c>
    </row>
    <row r="3" spans="1:5" x14ac:dyDescent="0.2">
      <c r="A3" t="s">
        <v>30</v>
      </c>
      <c r="B3" t="s">
        <v>32</v>
      </c>
      <c r="C3" t="s">
        <v>31</v>
      </c>
    </row>
    <row r="4" spans="1:5" x14ac:dyDescent="0.2">
      <c r="A4" t="s">
        <v>33</v>
      </c>
      <c r="B4" t="s">
        <v>35</v>
      </c>
      <c r="C4" t="s">
        <v>34</v>
      </c>
    </row>
    <row r="5" spans="1:5" x14ac:dyDescent="0.2">
      <c r="A5" t="s">
        <v>36</v>
      </c>
      <c r="B5" t="s">
        <v>38</v>
      </c>
      <c r="C5" t="s">
        <v>37</v>
      </c>
    </row>
    <row r="6" spans="1:5" x14ac:dyDescent="0.2">
      <c r="A6" t="s">
        <v>39</v>
      </c>
      <c r="B6" t="s">
        <v>41</v>
      </c>
      <c r="C6" t="s">
        <v>40</v>
      </c>
    </row>
    <row r="11" spans="1:5" x14ac:dyDescent="0.2">
      <c r="A11" s="1" t="s">
        <v>43</v>
      </c>
      <c r="D11" s="1" t="s">
        <v>42</v>
      </c>
    </row>
    <row r="12" spans="1:5" x14ac:dyDescent="0.2">
      <c r="A12" t="s">
        <v>13</v>
      </c>
      <c r="B12" t="s">
        <v>1</v>
      </c>
      <c r="D12" t="s">
        <v>0</v>
      </c>
      <c r="E12" t="s">
        <v>1</v>
      </c>
    </row>
    <row r="13" spans="1:5" x14ac:dyDescent="0.2">
      <c r="A13" t="s">
        <v>14</v>
      </c>
      <c r="B13">
        <v>1000000000</v>
      </c>
      <c r="D13" t="s">
        <v>2</v>
      </c>
      <c r="E13">
        <v>500000000</v>
      </c>
    </row>
    <row r="14" spans="1:5" x14ac:dyDescent="0.2">
      <c r="A14" t="s">
        <v>15</v>
      </c>
      <c r="B14">
        <v>0.05</v>
      </c>
      <c r="D14" t="s">
        <v>3</v>
      </c>
      <c r="E14">
        <v>300000000</v>
      </c>
    </row>
    <row r="15" spans="1:5" x14ac:dyDescent="0.2">
      <c r="A15" t="s">
        <v>16</v>
      </c>
      <c r="B15">
        <v>0.4</v>
      </c>
      <c r="D15" t="s">
        <v>4</v>
      </c>
      <c r="E15">
        <v>450000000</v>
      </c>
    </row>
    <row r="16" spans="1:5" x14ac:dyDescent="0.2">
      <c r="A16" t="s">
        <v>17</v>
      </c>
      <c r="B16">
        <v>700000000</v>
      </c>
      <c r="D16" t="s">
        <v>5</v>
      </c>
      <c r="E16">
        <v>0.3</v>
      </c>
    </row>
    <row r="17" spans="1:5" x14ac:dyDescent="0.2">
      <c r="A17" t="s">
        <v>18</v>
      </c>
      <c r="B17">
        <v>200000000</v>
      </c>
      <c r="D17" t="s">
        <v>6</v>
      </c>
      <c r="E17">
        <v>0.5</v>
      </c>
    </row>
    <row r="18" spans="1:5" x14ac:dyDescent="0.2">
      <c r="A18" t="s">
        <v>19</v>
      </c>
      <c r="B18">
        <v>100000000</v>
      </c>
      <c r="D18" t="s">
        <v>7</v>
      </c>
      <c r="E18">
        <v>150000000</v>
      </c>
    </row>
    <row r="20" spans="1:5" x14ac:dyDescent="0.2">
      <c r="A20" t="s">
        <v>20</v>
      </c>
      <c r="B20" t="s">
        <v>9</v>
      </c>
      <c r="D20" t="s">
        <v>8</v>
      </c>
      <c r="E20" t="s">
        <v>9</v>
      </c>
    </row>
    <row r="21" spans="1:5" x14ac:dyDescent="0.2">
      <c r="A21" t="s">
        <v>21</v>
      </c>
      <c r="B21">
        <f>B13*B14*(1-B15)</f>
        <v>30000000</v>
      </c>
      <c r="D21" t="s">
        <v>10</v>
      </c>
      <c r="E21">
        <f>E15*(1-E16)</f>
        <v>315000000</v>
      </c>
    </row>
    <row r="22" spans="1:5" x14ac:dyDescent="0.2">
      <c r="A22" t="s">
        <v>22</v>
      </c>
      <c r="B22">
        <f>MIN(B20,B18)</f>
        <v>100000000</v>
      </c>
      <c r="D22" t="s">
        <v>11</v>
      </c>
      <c r="E22" t="e">
        <f>E20*E17</f>
        <v>#VALUE!</v>
      </c>
    </row>
    <row r="23" spans="1:5" x14ac:dyDescent="0.2">
      <c r="A23" t="s">
        <v>23</v>
      </c>
      <c r="B23" t="e">
        <f>MIN(B20-B21,B17)</f>
        <v>#VALUE!</v>
      </c>
      <c r="D23" t="s">
        <v>12</v>
      </c>
      <c r="E23">
        <f>E21-E18</f>
        <v>165000000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Donya Khoshsepehr</cp:lastModifiedBy>
  <dcterms:created xsi:type="dcterms:W3CDTF">2026-01-15T07:46:29Z</dcterms:created>
  <dcterms:modified xsi:type="dcterms:W3CDTF">2026-01-15T07:49:16Z</dcterms:modified>
</cp:coreProperties>
</file>